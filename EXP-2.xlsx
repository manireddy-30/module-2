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Payroll Sheet" sheetId="1" r:id="rId1"/>
  </sheets>
  <calcPr calcId="162913"/>
</workbook>
</file>

<file path=xl/calcChain.xml><?xml version="1.0" encoding="utf-8"?>
<calcChain xmlns="http://schemas.openxmlformats.org/spreadsheetml/2006/main">
  <c r="I6" i="1" l="1"/>
  <c r="H6" i="1"/>
  <c r="G6" i="1"/>
  <c r="J6" i="1" s="1"/>
  <c r="I5" i="1"/>
  <c r="H5" i="1"/>
  <c r="G5" i="1"/>
  <c r="J5" i="1" s="1"/>
  <c r="I4" i="1"/>
  <c r="H4" i="1"/>
  <c r="G4" i="1"/>
  <c r="J4" i="1" s="1"/>
  <c r="I3" i="1"/>
  <c r="H3" i="1"/>
  <c r="G3" i="1"/>
  <c r="J3" i="1" s="1"/>
  <c r="I2" i="1"/>
  <c r="H2" i="1"/>
  <c r="G2" i="1"/>
  <c r="J2" i="1" s="1"/>
</calcChain>
</file>

<file path=xl/sharedStrings.xml><?xml version="1.0" encoding="utf-8"?>
<sst xmlns="http://schemas.openxmlformats.org/spreadsheetml/2006/main" count="25" uniqueCount="25">
  <si>
    <t>Employee ID</t>
  </si>
  <si>
    <t>Employee Name</t>
  </si>
  <si>
    <t>Department</t>
  </si>
  <si>
    <t>Basic Salary</t>
  </si>
  <si>
    <t>House Rent Allowance (HRA)</t>
  </si>
  <si>
    <t>Medical Allowance</t>
  </si>
  <si>
    <t>Gross Salary</t>
  </si>
  <si>
    <t>Provident Fund (PF)</t>
  </si>
  <si>
    <t>Tax</t>
  </si>
  <si>
    <t>Net Salary</t>
  </si>
  <si>
    <t>EMP001</t>
  </si>
  <si>
    <t>John Doe</t>
  </si>
  <si>
    <t>HR</t>
  </si>
  <si>
    <t>EMP002</t>
  </si>
  <si>
    <t>Jane Smith</t>
  </si>
  <si>
    <t>IT</t>
  </si>
  <si>
    <t>EMP003</t>
  </si>
  <si>
    <t>Michael Chang</t>
  </si>
  <si>
    <t>Finance</t>
  </si>
  <si>
    <t>EMP004</t>
  </si>
  <si>
    <t>Sarah Ahmed</t>
  </si>
  <si>
    <t>Marketing</t>
  </si>
  <si>
    <t>EMP005</t>
  </si>
  <si>
    <t>David Rossi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</si>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</sst>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5" x14ac:dyDescent="0.25"/>
  <cols>
    <col min="1" max="1" width="14.7109375" customWidth="1"/>
    <col min="2" max="2" width="19.140625" customWidth="1"/>
    <col min="3" max="3" width="17.42578125" customWidth="1"/>
    <col min="4" max="4" width="20.42578125" customWidth="1"/>
    <col min="5" max="5" width="22.5703125" customWidth="1"/>
    <col min="6" max="6" width="22" customWidth="1"/>
    <col min="7" max="7" width="15" customWidth="1"/>
    <col min="8" max="8" width="12.7109375" customWidth="1"/>
    <col min="9" max="9" width="12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45000</v>
      </c>
      <c r="E2" s="2">
        <v>4500</v>
      </c>
      <c r="F2" s="2">
        <v>1500</v>
      </c>
      <c r="G2" s="2">
        <f>SUM(D2:F2)</f>
        <v>51000</v>
      </c>
      <c r="H2" s="2">
        <f>D2*0.12</f>
        <v>5400</v>
      </c>
      <c r="I2" s="2">
        <f>G2*0.1</f>
        <v>5100</v>
      </c>
      <c r="J2" s="2">
        <f>G2-H2-I2</f>
        <v>40500</v>
      </c>
    </row>
    <row r="3" spans="1:10" x14ac:dyDescent="0.25">
      <c r="A3" t="s">
        <v>13</v>
      </c>
      <c r="B3" t="s">
        <v>14</v>
      </c>
      <c r="C3" t="s">
        <v>15</v>
      </c>
      <c r="D3" s="2">
        <v>65000</v>
      </c>
      <c r="E3" s="2">
        <v>6500</v>
      </c>
      <c r="F3" s="2">
        <v>1500</v>
      </c>
      <c r="G3" s="2">
        <f>SUM(D3:F3)</f>
        <v>73000</v>
      </c>
      <c r="H3" s="2">
        <f>D3*0.12</f>
        <v>7800</v>
      </c>
      <c r="I3" s="2">
        <f>G3*0.1</f>
        <v>7300</v>
      </c>
      <c r="J3" s="2">
        <f>G3-H3-I3</f>
        <v>57900</v>
      </c>
    </row>
    <row r="4" spans="1:10" x14ac:dyDescent="0.25">
      <c r="A4" t="s">
        <v>16</v>
      </c>
      <c r="B4" t="s">
        <v>17</v>
      </c>
      <c r="C4" t="s">
        <v>18</v>
      </c>
      <c r="D4" s="2">
        <v>55000</v>
      </c>
      <c r="E4" s="2">
        <v>5500</v>
      </c>
      <c r="F4" s="2">
        <v>1500</v>
      </c>
      <c r="G4" s="2">
        <f>SUM(D4:F4)</f>
        <v>62000</v>
      </c>
      <c r="H4" s="2">
        <f>D4*0.12</f>
        <v>6600</v>
      </c>
      <c r="I4" s="2">
        <f>G4*0.1</f>
        <v>6200</v>
      </c>
      <c r="J4" s="2">
        <f>G4-H4-I4</f>
        <v>49200</v>
      </c>
    </row>
    <row r="5" spans="1:10" x14ac:dyDescent="0.25">
      <c r="A5" t="s">
        <v>19</v>
      </c>
      <c r="B5" t="s">
        <v>20</v>
      </c>
      <c r="C5" t="s">
        <v>21</v>
      </c>
      <c r="D5" s="2">
        <v>48000</v>
      </c>
      <c r="E5" s="2">
        <v>4800</v>
      </c>
      <c r="F5" s="2">
        <v>1500</v>
      </c>
      <c r="G5" s="2">
        <f>SUM(D5:F5)</f>
        <v>54300</v>
      </c>
      <c r="H5" s="2">
        <f>D5*0.12</f>
        <v>5760</v>
      </c>
      <c r="I5" s="2">
        <f>G5*0.1</f>
        <v>5430</v>
      </c>
      <c r="J5" s="2">
        <f>G5-H5-I5</f>
        <v>43110</v>
      </c>
    </row>
    <row r="6" spans="1:10" x14ac:dyDescent="0.25">
      <c r="A6" t="s">
        <v>22</v>
      </c>
      <c r="B6" t="s">
        <v>23</v>
      </c>
      <c r="C6" t="s">
        <v>24</v>
      </c>
      <c r="D6" s="2">
        <v>42000</v>
      </c>
      <c r="E6" s="2">
        <v>4200</v>
      </c>
      <c r="F6" s="2">
        <v>1500</v>
      </c>
      <c r="G6" s="2">
        <f>SUM(D6:F6)</f>
        <v>47700</v>
      </c>
      <c r="H6" s="2">
        <f>D6*0.12</f>
        <v>5040</v>
      </c>
      <c r="I6" s="2">
        <f>G6*0.1</f>
        <v>4770</v>
      </c>
      <c r="J6" s="2">
        <f>G6-H6-I6</f>
        <v>37890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2026-10-07T07:56:46Z</dcterms:created>
  <dcterms:modified xsi:type="dcterms:W3CDTF">2026-10-07T07:58:54Z</dcterms:modified>
</cp:coreProperties>
</file>